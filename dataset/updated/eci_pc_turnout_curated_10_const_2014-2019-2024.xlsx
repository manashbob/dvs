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25062024\Personal\Education\BITSPILANI\Assignments\Data Visualization &amp; Storytelling\Datasets\NEW\"/>
    </mc:Choice>
  </mc:AlternateContent>
  <xr:revisionPtr revIDLastSave="0" documentId="13_ncr:1_{9154917B-7DD0-401C-919A-CADF68899E73}" xr6:coauthVersionLast="47" xr6:coauthVersionMax="47" xr10:uidLastSave="{00000000-0000-0000-0000-000000000000}"/>
  <bookViews>
    <workbookView xWindow="-110" yWindow="-110" windowWidth="19420" windowHeight="10300" xr2:uid="{A2774770-D7F7-4293-89FE-7B5BEEDAE3FF}"/>
  </bookViews>
  <sheets>
    <sheet name="Curated 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1" i="3" l="1"/>
  <c r="Z31" i="3"/>
  <c r="Y31" i="3"/>
  <c r="X31" i="3"/>
  <c r="W31" i="3"/>
  <c r="V31" i="3"/>
  <c r="U31" i="3"/>
  <c r="Q31" i="3"/>
  <c r="O31" i="3"/>
  <c r="M31" i="3"/>
  <c r="Z30" i="3"/>
  <c r="X30" i="3"/>
  <c r="W30" i="3"/>
  <c r="V30" i="3"/>
  <c r="U30" i="3"/>
  <c r="Q30" i="3"/>
  <c r="O30" i="3"/>
  <c r="Y30" i="3" s="1"/>
  <c r="M30" i="3"/>
  <c r="V29" i="3"/>
  <c r="U29" i="3"/>
  <c r="M29" i="3"/>
  <c r="W29" i="3" s="1"/>
  <c r="V28" i="3"/>
  <c r="U28" i="3"/>
  <c r="M28" i="3"/>
  <c r="Q28" i="3" s="1"/>
  <c r="Z27" i="3"/>
  <c r="V27" i="3"/>
  <c r="U27" i="3"/>
  <c r="Q27" i="3"/>
  <c r="M27" i="3"/>
  <c r="O27" i="3" s="1"/>
  <c r="Z26" i="3"/>
  <c r="X26" i="3"/>
  <c r="W26" i="3"/>
  <c r="V26" i="3"/>
  <c r="U26" i="3"/>
  <c r="M26" i="3"/>
  <c r="Z25" i="3"/>
  <c r="X25" i="3"/>
  <c r="W25" i="3"/>
  <c r="V25" i="3"/>
  <c r="U25" i="3"/>
  <c r="M25" i="3"/>
  <c r="Z24" i="3"/>
  <c r="X24" i="3"/>
  <c r="W24" i="3"/>
  <c r="V24" i="3"/>
  <c r="U24" i="3"/>
  <c r="Q24" i="3"/>
  <c r="O24" i="3"/>
  <c r="Y24" i="3" s="1"/>
  <c r="M24" i="3"/>
  <c r="V23" i="3"/>
  <c r="U23" i="3"/>
  <c r="M23" i="3"/>
  <c r="W23" i="3" s="1"/>
  <c r="V22" i="3"/>
  <c r="U22" i="3"/>
  <c r="M22" i="3"/>
  <c r="Q22" i="3" s="1"/>
  <c r="Z21" i="3"/>
  <c r="V21" i="3"/>
  <c r="U21" i="3"/>
  <c r="Q21" i="3"/>
  <c r="M21" i="3"/>
  <c r="O21" i="3" s="1"/>
  <c r="I21" i="3"/>
  <c r="H21" i="3"/>
  <c r="G21" i="3"/>
  <c r="Z20" i="3"/>
  <c r="V20" i="3"/>
  <c r="U20" i="3"/>
  <c r="M20" i="3"/>
  <c r="Q20" i="3" s="1"/>
  <c r="I20" i="3"/>
  <c r="H20" i="3"/>
  <c r="G20" i="3"/>
  <c r="V19" i="3"/>
  <c r="U19" i="3"/>
  <c r="M19" i="3"/>
  <c r="Q19" i="3" s="1"/>
  <c r="I19" i="3"/>
  <c r="H19" i="3"/>
  <c r="G19" i="3"/>
  <c r="V18" i="3"/>
  <c r="U18" i="3"/>
  <c r="M18" i="3"/>
  <c r="Q18" i="3" s="1"/>
  <c r="I18" i="3"/>
  <c r="H18" i="3"/>
  <c r="G18" i="3"/>
  <c r="V17" i="3"/>
  <c r="U17" i="3"/>
  <c r="M17" i="3"/>
  <c r="W17" i="3" s="1"/>
  <c r="I17" i="3"/>
  <c r="H17" i="3"/>
  <c r="G17" i="3"/>
  <c r="V16" i="3"/>
  <c r="U16" i="3"/>
  <c r="M16" i="3"/>
  <c r="X16" i="3" s="1"/>
  <c r="I16" i="3"/>
  <c r="H16" i="3"/>
  <c r="G16" i="3"/>
  <c r="Z15" i="3"/>
  <c r="X15" i="3"/>
  <c r="W15" i="3"/>
  <c r="V15" i="3"/>
  <c r="U15" i="3"/>
  <c r="Q15" i="3"/>
  <c r="O15" i="3"/>
  <c r="Y15" i="3" s="1"/>
  <c r="M15" i="3"/>
  <c r="I15" i="3"/>
  <c r="H15" i="3"/>
  <c r="G15" i="3"/>
  <c r="AA14" i="3"/>
  <c r="Z14" i="3"/>
  <c r="Y14" i="3"/>
  <c r="X14" i="3"/>
  <c r="W14" i="3"/>
  <c r="V14" i="3"/>
  <c r="U14" i="3"/>
  <c r="Q14" i="3"/>
  <c r="O14" i="3"/>
  <c r="M14" i="3"/>
  <c r="I14" i="3"/>
  <c r="H14" i="3"/>
  <c r="G14" i="3"/>
  <c r="Z13" i="3"/>
  <c r="X13" i="3"/>
  <c r="W13" i="3"/>
  <c r="V13" i="3"/>
  <c r="U13" i="3"/>
  <c r="M13" i="3"/>
  <c r="I13" i="3"/>
  <c r="H13" i="3"/>
  <c r="G13" i="3"/>
  <c r="Z12" i="3"/>
  <c r="X12" i="3"/>
  <c r="W12" i="3"/>
  <c r="V12" i="3"/>
  <c r="U12" i="3"/>
  <c r="M12" i="3"/>
  <c r="I12" i="3"/>
  <c r="H12" i="3"/>
  <c r="G12" i="3"/>
  <c r="Z11" i="3"/>
  <c r="X11" i="3"/>
  <c r="W11" i="3"/>
  <c r="V11" i="3"/>
  <c r="U11" i="3"/>
  <c r="M11" i="3"/>
  <c r="H11" i="3"/>
  <c r="G11" i="3"/>
  <c r="Z10" i="3"/>
  <c r="X10" i="3"/>
  <c r="W10" i="3"/>
  <c r="V10" i="3"/>
  <c r="U10" i="3"/>
  <c r="M10" i="3"/>
  <c r="I10" i="3"/>
  <c r="H10" i="3"/>
  <c r="G10" i="3"/>
  <c r="AA9" i="3"/>
  <c r="Z9" i="3"/>
  <c r="Y9" i="3"/>
  <c r="X9" i="3"/>
  <c r="V9" i="3"/>
  <c r="U9" i="3"/>
  <c r="Q9" i="3"/>
  <c r="O9" i="3"/>
  <c r="M9" i="3"/>
  <c r="W9" i="3" s="1"/>
  <c r="H9" i="3"/>
  <c r="G9" i="3"/>
  <c r="AA8" i="3"/>
  <c r="Z8" i="3"/>
  <c r="Y8" i="3"/>
  <c r="X8" i="3"/>
  <c r="V8" i="3"/>
  <c r="U8" i="3"/>
  <c r="Q8" i="3"/>
  <c r="O8" i="3"/>
  <c r="M8" i="3"/>
  <c r="W8" i="3" s="1"/>
  <c r="I8" i="3"/>
  <c r="H8" i="3"/>
  <c r="G8" i="3"/>
  <c r="Z7" i="3"/>
  <c r="V7" i="3"/>
  <c r="U7" i="3"/>
  <c r="Q7" i="3"/>
  <c r="M7" i="3"/>
  <c r="O7" i="3" s="1"/>
  <c r="H7" i="3"/>
  <c r="G7" i="3"/>
  <c r="Z6" i="3"/>
  <c r="V6" i="3"/>
  <c r="U6" i="3"/>
  <c r="Q6" i="3"/>
  <c r="M6" i="3"/>
  <c r="O6" i="3" s="1"/>
  <c r="I6" i="3"/>
  <c r="H6" i="3"/>
  <c r="G6" i="3"/>
  <c r="Z5" i="3"/>
  <c r="V5" i="3"/>
  <c r="U5" i="3"/>
  <c r="M5" i="3"/>
  <c r="Q5" i="3" s="1"/>
  <c r="I5" i="3"/>
  <c r="H5" i="3"/>
  <c r="G5" i="3"/>
  <c r="V4" i="3"/>
  <c r="U4" i="3"/>
  <c r="M4" i="3"/>
  <c r="Q4" i="3" s="1"/>
  <c r="H4" i="3"/>
  <c r="G4" i="3"/>
  <c r="V3" i="3"/>
  <c r="U3" i="3"/>
  <c r="M3" i="3"/>
  <c r="Q3" i="3" s="1"/>
  <c r="I3" i="3"/>
  <c r="H3" i="3"/>
  <c r="G3" i="3"/>
  <c r="V2" i="3"/>
  <c r="U2" i="3"/>
  <c r="M2" i="3"/>
  <c r="Q2" i="3" s="1"/>
  <c r="H2" i="3"/>
  <c r="I2" i="3" s="1"/>
  <c r="G2" i="3"/>
  <c r="AA6" i="3" l="1"/>
  <c r="Y6" i="3"/>
  <c r="AA21" i="3"/>
  <c r="Y21" i="3"/>
  <c r="AA27" i="3"/>
  <c r="Y27" i="3"/>
  <c r="AA7" i="3"/>
  <c r="Y7" i="3"/>
  <c r="X29" i="3"/>
  <c r="AA30" i="3"/>
  <c r="Z29" i="3"/>
  <c r="O16" i="3"/>
  <c r="Y16" i="3" s="1"/>
  <c r="O17" i="3"/>
  <c r="Y17" i="3" s="1"/>
  <c r="O23" i="3"/>
  <c r="Y23" i="3" s="1"/>
  <c r="O2" i="3"/>
  <c r="Y2" i="3" s="1"/>
  <c r="W2" i="3"/>
  <c r="X17" i="3"/>
  <c r="W18" i="3"/>
  <c r="X23" i="3"/>
  <c r="X2" i="3"/>
  <c r="W4" i="3"/>
  <c r="O10" i="3"/>
  <c r="Y10" i="3" s="1"/>
  <c r="AA15" i="3"/>
  <c r="Z16" i="3"/>
  <c r="X18" i="3"/>
  <c r="W19" i="3"/>
  <c r="W22" i="3"/>
  <c r="AA24" i="3"/>
  <c r="O26" i="3"/>
  <c r="Y26" i="3" s="1"/>
  <c r="X3" i="3"/>
  <c r="W5" i="3"/>
  <c r="Q11" i="3"/>
  <c r="AA16" i="3"/>
  <c r="W20" i="3"/>
  <c r="X22" i="3"/>
  <c r="X28" i="3"/>
  <c r="Z2" i="3"/>
  <c r="X5" i="3"/>
  <c r="W6" i="3"/>
  <c r="W7" i="3"/>
  <c r="Q12" i="3"/>
  <c r="O13" i="3"/>
  <c r="Y13" i="3" s="1"/>
  <c r="Z18" i="3"/>
  <c r="X20" i="3"/>
  <c r="W21" i="3"/>
  <c r="AA23" i="3"/>
  <c r="O25" i="3"/>
  <c r="Y25" i="3" s="1"/>
  <c r="W27" i="3"/>
  <c r="Q16" i="3"/>
  <c r="W3" i="3"/>
  <c r="O11" i="3"/>
  <c r="Y11" i="3" s="1"/>
  <c r="W28" i="3"/>
  <c r="X4" i="3"/>
  <c r="Q10" i="3"/>
  <c r="O12" i="3"/>
  <c r="Y12" i="3" s="1"/>
  <c r="Z17" i="3"/>
  <c r="X19" i="3"/>
  <c r="Z23" i="3"/>
  <c r="Q26" i="3"/>
  <c r="Z3" i="3"/>
  <c r="Z4" i="3"/>
  <c r="X6" i="3"/>
  <c r="X7" i="3"/>
  <c r="Q13" i="3"/>
  <c r="Z19" i="3"/>
  <c r="X21" i="3"/>
  <c r="Z22" i="3"/>
  <c r="Q25" i="3"/>
  <c r="X27" i="3"/>
  <c r="Z28" i="3"/>
  <c r="O29" i="3"/>
  <c r="Y29" i="3" s="1"/>
  <c r="Q29" i="3"/>
  <c r="O28" i="3"/>
  <c r="Y28" i="3" s="1"/>
  <c r="Q17" i="3"/>
  <c r="O18" i="3"/>
  <c r="Y18" i="3" s="1"/>
  <c r="Q23" i="3"/>
  <c r="O3" i="3"/>
  <c r="O4" i="3"/>
  <c r="O19" i="3"/>
  <c r="O22" i="3"/>
  <c r="O5" i="3"/>
  <c r="W16" i="3"/>
  <c r="O20" i="3"/>
  <c r="AA28" i="3" l="1"/>
  <c r="Y5" i="3"/>
  <c r="AA5" i="3"/>
  <c r="AA2" i="3"/>
  <c r="AA29" i="3"/>
  <c r="AA25" i="3"/>
  <c r="AA13" i="3"/>
  <c r="Y22" i="3"/>
  <c r="AA22" i="3"/>
  <c r="Y19" i="3"/>
  <c r="AA19" i="3"/>
  <c r="Y4" i="3"/>
  <c r="AA4" i="3"/>
  <c r="AA10" i="3"/>
  <c r="Y3" i="3"/>
  <c r="AA3" i="3"/>
  <c r="Y20" i="3"/>
  <c r="AA20" i="3"/>
  <c r="AA18" i="3"/>
  <c r="AA12" i="3"/>
  <c r="AA26" i="3"/>
  <c r="AA17" i="3"/>
  <c r="AA11" i="3"/>
</calcChain>
</file>

<file path=xl/sharedStrings.xml><?xml version="1.0" encoding="utf-8"?>
<sst xmlns="http://schemas.openxmlformats.org/spreadsheetml/2006/main" count="117" uniqueCount="49">
  <si>
    <t>Year</t>
  </si>
  <si>
    <t>State_Name</t>
  </si>
  <si>
    <t>Constituency_Name</t>
  </si>
  <si>
    <t>PC_Number</t>
  </si>
  <si>
    <t>Electors_Total</t>
  </si>
  <si>
    <t>Electors_Male</t>
  </si>
  <si>
    <t>Electors_Female</t>
  </si>
  <si>
    <t>EVM_Votes_Male</t>
  </si>
  <si>
    <t>EVM_Votes_Female</t>
  </si>
  <si>
    <t>EVM_Votes_TG</t>
  </si>
  <si>
    <t>EVM_Votes_Total</t>
  </si>
  <si>
    <t>Postal_Votes_Total</t>
  </si>
  <si>
    <t>EVM_Total_OK</t>
  </si>
  <si>
    <t>Combined_Total_OK</t>
  </si>
  <si>
    <t>Raw_Data_Sheet</t>
  </si>
  <si>
    <t>Electors_TG</t>
  </si>
  <si>
    <t>Votes_Total</t>
  </si>
  <si>
    <t>Turnout_Overall_PCT(%)</t>
  </si>
  <si>
    <t>Turnout_EVM_Male_PCT(%)</t>
  </si>
  <si>
    <t>Turnout_EVM_Female_PCT(%)</t>
  </si>
  <si>
    <t>Turnout_EVM_TG_PCT(%)</t>
  </si>
  <si>
    <t>Turnout_Postal_PCT(%)</t>
  </si>
  <si>
    <t>Gender_Turnout_Gap_PCT(%)</t>
  </si>
  <si>
    <t>EVM_Votes_Male_Share_PCT(%)</t>
  </si>
  <si>
    <t>EVM_Votes_Female_Share_PCT(%)</t>
  </si>
  <si>
    <t>Postal_Share_Of_Total_PCT(%)</t>
  </si>
  <si>
    <t>Gujarat</t>
  </si>
  <si>
    <t>Ahmedabad East</t>
  </si>
  <si>
    <t>EC_2014_Raw_Data</t>
  </si>
  <si>
    <t>Karnataka</t>
  </si>
  <si>
    <t>Bangalore South</t>
  </si>
  <si>
    <t>Kerala</t>
  </si>
  <si>
    <t>Thiruvananthapuram</t>
  </si>
  <si>
    <t>Madhya Pradesh</t>
  </si>
  <si>
    <t>Bhopal</t>
  </si>
  <si>
    <t>Maharashtra</t>
  </si>
  <si>
    <t>Pune</t>
  </si>
  <si>
    <t>Rajasthan</t>
  </si>
  <si>
    <t>Jaipur</t>
  </si>
  <si>
    <t>Tamil Nadu</t>
  </si>
  <si>
    <t>Chennai Central</t>
  </si>
  <si>
    <t>Uttar Pradesh</t>
  </si>
  <si>
    <t>Lucknow</t>
  </si>
  <si>
    <t>Varanasi</t>
  </si>
  <si>
    <t>West Bengal</t>
  </si>
  <si>
    <t>Kolkata Dakshin</t>
  </si>
  <si>
    <t>EC_2019_Raw_Data</t>
  </si>
  <si>
    <t>EC_2024_Raw_Data</t>
  </si>
  <si>
    <t>Turnout_EVM_Overall_PCT(%)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</si>
</sst>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3270-CA7A-4D98-A72E-66330E06AAC9}">
  <dimension ref="A1:AA31"/>
  <sheetViews>
    <sheetView tabSelected="1" topLeftCell="F1" workbookViewId="0">
      <selection activeCell="N18" sqref="N18"/>
    </sheetView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17</v>
      </c>
      <c r="Q1" s="1" t="s">
        <v>48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12</v>
      </c>
      <c r="AA1" s="1" t="s">
        <v>13</v>
      </c>
    </row>
    <row r="2" spans="1:27" x14ac:dyDescent="0.35">
      <c r="A2" s="1">
        <v>2014</v>
      </c>
      <c r="B2" s="1" t="s">
        <v>26</v>
      </c>
      <c r="C2" s="1" t="s">
        <v>27</v>
      </c>
      <c r="D2" s="1">
        <v>7</v>
      </c>
      <c r="E2" s="1" t="s">
        <v>28</v>
      </c>
      <c r="F2" s="1">
        <v>1601832</v>
      </c>
      <c r="G2" s="1">
        <f>J2/R2*100</f>
        <v>850633.00000000023</v>
      </c>
      <c r="H2" s="1">
        <f>K2/S2*100</f>
        <v>748620.00000000058</v>
      </c>
      <c r="I2" s="1">
        <f>F2-G2-H2</f>
        <v>2578.9999999991851</v>
      </c>
      <c r="J2" s="1">
        <v>557279</v>
      </c>
      <c r="K2" s="1">
        <v>422980</v>
      </c>
      <c r="L2" s="1">
        <v>6</v>
      </c>
      <c r="M2" s="1">
        <f>J2+K2+L2</f>
        <v>980265</v>
      </c>
      <c r="N2" s="1">
        <v>6261</v>
      </c>
      <c r="O2" s="1">
        <f>M2+N2</f>
        <v>986526</v>
      </c>
      <c r="P2" s="2">
        <v>61.587357475690332</v>
      </c>
      <c r="Q2" s="2">
        <f>M2/F2*100</f>
        <v>61.1964925160691</v>
      </c>
      <c r="R2" s="2">
        <v>65.513447044730199</v>
      </c>
      <c r="S2" s="2">
        <v>56.501295717453402</v>
      </c>
      <c r="T2" s="2">
        <v>60</v>
      </c>
      <c r="U2" s="2">
        <f>N2/F2*100</f>
        <v>0.39086495962123369</v>
      </c>
      <c r="V2" s="2">
        <f>S2-R2</f>
        <v>-9.012151327276797</v>
      </c>
      <c r="W2" s="2">
        <f>J2/M2*100</f>
        <v>56.849831423135576</v>
      </c>
      <c r="X2" s="2">
        <f>K2/M2*100</f>
        <v>43.149556497477718</v>
      </c>
      <c r="Y2" s="2">
        <f>N2/O2*100</f>
        <v>0.63465129150169386</v>
      </c>
      <c r="Z2" s="1" t="str">
        <f>IF((J2+K2+L2-M2)&lt;=1,"OK","CHECK")</f>
        <v>OK</v>
      </c>
      <c r="AA2" s="1" t="str">
        <f>IF((M2+N2-O2)&lt;=1,"OK","CHECK")</f>
        <v>OK</v>
      </c>
    </row>
    <row r="3" spans="1:27" x14ac:dyDescent="0.35">
      <c r="A3" s="1">
        <v>2014</v>
      </c>
      <c r="B3" s="1" t="s">
        <v>29</v>
      </c>
      <c r="C3" s="1" t="s">
        <v>30</v>
      </c>
      <c r="D3" s="1">
        <v>26</v>
      </c>
      <c r="E3" s="1" t="s">
        <v>28</v>
      </c>
      <c r="F3" s="1">
        <v>1998724</v>
      </c>
      <c r="G3" s="1">
        <f t="shared" ref="G3:H21" si="0">J3/R3*100</f>
        <v>1050583.9999999995</v>
      </c>
      <c r="H3" s="1">
        <f t="shared" si="0"/>
        <v>947604.00000000023</v>
      </c>
      <c r="I3" s="1">
        <f>L3/T3*100</f>
        <v>320</v>
      </c>
      <c r="J3" s="1">
        <v>596688</v>
      </c>
      <c r="K3" s="1">
        <v>516207</v>
      </c>
      <c r="L3" s="1">
        <v>19</v>
      </c>
      <c r="M3" s="1">
        <f t="shared" ref="M3:M31" si="1">J3+K3+L3</f>
        <v>1112914</v>
      </c>
      <c r="N3" s="1">
        <v>1445</v>
      </c>
      <c r="O3" s="1">
        <f t="shared" ref="O3:O31" si="2">M3+N3</f>
        <v>1114359</v>
      </c>
      <c r="P3" s="2">
        <v>55.753520746236099</v>
      </c>
      <c r="Q3" s="2">
        <f t="shared" ref="Q3:Q31" si="3">M3/F3*100</f>
        <v>55.681224621308388</v>
      </c>
      <c r="R3" s="2">
        <v>56.7958392665413</v>
      </c>
      <c r="S3" s="2">
        <v>54.474970557321399</v>
      </c>
      <c r="T3" s="2">
        <v>5.9375</v>
      </c>
      <c r="U3" s="2">
        <f t="shared" ref="U3:U31" si="4">N3/F3*100</f>
        <v>7.2296124927703875E-2</v>
      </c>
      <c r="V3" s="2">
        <f t="shared" ref="V3:V31" si="5">S3-R3</f>
        <v>-2.3208687092199014</v>
      </c>
      <c r="W3" s="2">
        <f t="shared" ref="W3:W31" si="6">J3/M3*100</f>
        <v>53.614924423630214</v>
      </c>
      <c r="X3" s="2">
        <f>K3/M3*100</f>
        <v>46.383368346520939</v>
      </c>
      <c r="Y3" s="2">
        <f t="shared" ref="Y3:Y31" si="7">N3/O3*100</f>
        <v>0.12967095882027246</v>
      </c>
      <c r="Z3" s="1" t="str">
        <f t="shared" ref="Z3:Z31" si="8">IF((J3+K3+L3-M3)&lt;=1,"OK","CHECK")</f>
        <v>OK</v>
      </c>
      <c r="AA3" s="1" t="str">
        <f t="shared" ref="AA3:AA31" si="9">IF((M3+N3-O3)&lt;=1,"OK","CHECK")</f>
        <v>OK</v>
      </c>
    </row>
    <row r="4" spans="1:27" x14ac:dyDescent="0.35">
      <c r="A4" s="1">
        <v>2014</v>
      </c>
      <c r="B4" s="1" t="s">
        <v>31</v>
      </c>
      <c r="C4" s="1" t="s">
        <v>32</v>
      </c>
      <c r="D4" s="1">
        <v>20</v>
      </c>
      <c r="E4" s="1" t="s">
        <v>28</v>
      </c>
      <c r="F4" s="1">
        <v>1272632</v>
      </c>
      <c r="G4" s="1">
        <f t="shared" si="0"/>
        <v>610715.99999999977</v>
      </c>
      <c r="H4" s="1">
        <f t="shared" si="0"/>
        <v>656740.00000000023</v>
      </c>
      <c r="I4" s="1">
        <v>0</v>
      </c>
      <c r="J4" s="1">
        <v>433243</v>
      </c>
      <c r="K4" s="1">
        <v>437404</v>
      </c>
      <c r="L4" s="1">
        <v>0</v>
      </c>
      <c r="M4" s="1">
        <f t="shared" si="1"/>
        <v>870647</v>
      </c>
      <c r="N4" s="1">
        <v>2815</v>
      </c>
      <c r="O4" s="1">
        <f t="shared" si="2"/>
        <v>873462</v>
      </c>
      <c r="P4" s="2">
        <v>68.634294910076122</v>
      </c>
      <c r="Q4" s="2">
        <f t="shared" si="3"/>
        <v>68.413099780612157</v>
      </c>
      <c r="R4" s="2">
        <v>70.940175138689696</v>
      </c>
      <c r="S4" s="2">
        <v>66.602308371653905</v>
      </c>
      <c r="T4" s="2">
        <v>0</v>
      </c>
      <c r="U4" s="2">
        <f t="shared" si="4"/>
        <v>0.22119512946397701</v>
      </c>
      <c r="V4" s="2">
        <f t="shared" si="5"/>
        <v>-4.3378667670357913</v>
      </c>
      <c r="W4" s="2">
        <f t="shared" si="6"/>
        <v>49.761039778463598</v>
      </c>
      <c r="X4" s="2">
        <f>K4/M4*100</f>
        <v>50.238960221536402</v>
      </c>
      <c r="Y4" s="2">
        <f t="shared" si="7"/>
        <v>0.32228076321580101</v>
      </c>
      <c r="Z4" s="1" t="str">
        <f t="shared" si="8"/>
        <v>OK</v>
      </c>
      <c r="AA4" s="1" t="str">
        <f t="shared" si="9"/>
        <v>OK</v>
      </c>
    </row>
    <row r="5" spans="1:27" x14ac:dyDescent="0.35">
      <c r="A5" s="1">
        <v>2014</v>
      </c>
      <c r="B5" s="1" t="s">
        <v>33</v>
      </c>
      <c r="C5" s="1" t="s">
        <v>34</v>
      </c>
      <c r="D5" s="1">
        <v>19</v>
      </c>
      <c r="E5" s="1" t="s">
        <v>28</v>
      </c>
      <c r="F5" s="1">
        <v>1957241</v>
      </c>
      <c r="G5" s="1">
        <f t="shared" si="0"/>
        <v>1037893.0000000006</v>
      </c>
      <c r="H5" s="1">
        <f t="shared" si="0"/>
        <v>917419.00000000058</v>
      </c>
      <c r="I5" s="1">
        <f>L5/T5*100</f>
        <v>66.999999999999687</v>
      </c>
      <c r="J5" s="1">
        <v>639634</v>
      </c>
      <c r="K5" s="1">
        <v>490428</v>
      </c>
      <c r="L5" s="1">
        <v>7</v>
      </c>
      <c r="M5" s="1">
        <f t="shared" si="1"/>
        <v>1130069</v>
      </c>
      <c r="N5" s="1">
        <v>212</v>
      </c>
      <c r="O5" s="1">
        <f t="shared" si="2"/>
        <v>1130281</v>
      </c>
      <c r="P5" s="2">
        <v>57.748688076736585</v>
      </c>
      <c r="Q5" s="2">
        <f t="shared" si="3"/>
        <v>57.737856503108198</v>
      </c>
      <c r="R5" s="2">
        <v>61.628125442603398</v>
      </c>
      <c r="S5" s="2">
        <v>53.457362448346899</v>
      </c>
      <c r="T5" s="2">
        <v>10.4477611940299</v>
      </c>
      <c r="U5" s="2">
        <f t="shared" si="4"/>
        <v>1.0831573628388125E-2</v>
      </c>
      <c r="V5" s="2">
        <f t="shared" si="5"/>
        <v>-8.1707629942564992</v>
      </c>
      <c r="W5" s="2">
        <f t="shared" si="6"/>
        <v>56.601322574108302</v>
      </c>
      <c r="X5" s="2">
        <f>K5/M5*100</f>
        <v>43.39805799468882</v>
      </c>
      <c r="Y5" s="2">
        <f t="shared" si="7"/>
        <v>1.8756397745339434E-2</v>
      </c>
      <c r="Z5" s="1" t="str">
        <f t="shared" si="8"/>
        <v>OK</v>
      </c>
      <c r="AA5" s="1" t="str">
        <f t="shared" si="9"/>
        <v>OK</v>
      </c>
    </row>
    <row r="6" spans="1:27" x14ac:dyDescent="0.35">
      <c r="A6" s="1">
        <v>2014</v>
      </c>
      <c r="B6" s="1" t="s">
        <v>35</v>
      </c>
      <c r="C6" s="1" t="s">
        <v>36</v>
      </c>
      <c r="D6" s="1">
        <v>34</v>
      </c>
      <c r="E6" s="1" t="s">
        <v>28</v>
      </c>
      <c r="F6" s="1">
        <v>1835835</v>
      </c>
      <c r="G6" s="1">
        <f t="shared" si="0"/>
        <v>948126.00000000035</v>
      </c>
      <c r="H6" s="1">
        <f t="shared" si="0"/>
        <v>885660</v>
      </c>
      <c r="I6" s="1">
        <f>L6/T6*100</f>
        <v>8</v>
      </c>
      <c r="J6" s="1">
        <v>533792</v>
      </c>
      <c r="K6" s="1">
        <v>459588</v>
      </c>
      <c r="L6" s="1">
        <v>2</v>
      </c>
      <c r="M6" s="1">
        <f t="shared" si="1"/>
        <v>993382</v>
      </c>
      <c r="N6" s="1">
        <v>584</v>
      </c>
      <c r="O6" s="1">
        <f t="shared" si="2"/>
        <v>993966</v>
      </c>
      <c r="P6" s="2">
        <v>54.142447442172092</v>
      </c>
      <c r="Q6" s="2">
        <f t="shared" si="3"/>
        <v>54.110636304460911</v>
      </c>
      <c r="R6" s="2">
        <v>56.299690125574003</v>
      </c>
      <c r="S6" s="2">
        <v>51.892148228439801</v>
      </c>
      <c r="T6" s="2">
        <v>25</v>
      </c>
      <c r="U6" s="2">
        <f t="shared" si="4"/>
        <v>3.1811137711177745E-2</v>
      </c>
      <c r="V6" s="2">
        <f t="shared" si="5"/>
        <v>-4.4075418971342017</v>
      </c>
      <c r="W6" s="2">
        <f t="shared" si="6"/>
        <v>53.734817019031958</v>
      </c>
      <c r="X6" s="2">
        <f>K6/M6*100</f>
        <v>46.264981648550105</v>
      </c>
      <c r="Y6" s="2">
        <f t="shared" si="7"/>
        <v>5.8754524802659254E-2</v>
      </c>
      <c r="Z6" s="1" t="str">
        <f t="shared" si="8"/>
        <v>OK</v>
      </c>
      <c r="AA6" s="1" t="str">
        <f t="shared" si="9"/>
        <v>OK</v>
      </c>
    </row>
    <row r="7" spans="1:27" x14ac:dyDescent="0.35">
      <c r="A7" s="1">
        <v>2014</v>
      </c>
      <c r="B7" s="1" t="s">
        <v>37</v>
      </c>
      <c r="C7" s="1" t="s">
        <v>38</v>
      </c>
      <c r="D7" s="1">
        <v>7</v>
      </c>
      <c r="E7" s="1" t="s">
        <v>28</v>
      </c>
      <c r="F7" s="1">
        <v>1957816</v>
      </c>
      <c r="G7" s="1">
        <f t="shared" si="0"/>
        <v>1046910.0000000003</v>
      </c>
      <c r="H7" s="1">
        <f t="shared" si="0"/>
        <v>910041</v>
      </c>
      <c r="I7" s="1">
        <v>0</v>
      </c>
      <c r="J7" s="1">
        <v>714851</v>
      </c>
      <c r="K7" s="1">
        <v>578288</v>
      </c>
      <c r="L7" s="1">
        <v>0</v>
      </c>
      <c r="M7" s="1">
        <f t="shared" si="1"/>
        <v>1293139</v>
      </c>
      <c r="N7" s="1">
        <v>5812</v>
      </c>
      <c r="O7" s="1">
        <f t="shared" si="2"/>
        <v>1298951</v>
      </c>
      <c r="P7" s="2">
        <v>66.346939651121446</v>
      </c>
      <c r="Q7" s="2">
        <f t="shared" si="3"/>
        <v>66.050078250458682</v>
      </c>
      <c r="R7" s="2">
        <v>68.281991766245397</v>
      </c>
      <c r="S7" s="2">
        <v>63.545268839535801</v>
      </c>
      <c r="T7" s="2">
        <v>0</v>
      </c>
      <c r="U7" s="2">
        <f t="shared" si="4"/>
        <v>0.29686140066277933</v>
      </c>
      <c r="V7" s="2">
        <f t="shared" si="5"/>
        <v>-4.7367229267095965</v>
      </c>
      <c r="W7" s="2">
        <f t="shared" si="6"/>
        <v>55.28029082720419</v>
      </c>
      <c r="X7" s="2">
        <f>K7/M7*100</f>
        <v>44.71970917279581</v>
      </c>
      <c r="Y7" s="2">
        <f t="shared" si="7"/>
        <v>0.44743797110129635</v>
      </c>
      <c r="Z7" s="1" t="str">
        <f t="shared" si="8"/>
        <v>OK</v>
      </c>
      <c r="AA7" s="1" t="str">
        <f t="shared" si="9"/>
        <v>OK</v>
      </c>
    </row>
    <row r="8" spans="1:27" x14ac:dyDescent="0.35">
      <c r="A8" s="1">
        <v>2014</v>
      </c>
      <c r="B8" s="1" t="s">
        <v>39</v>
      </c>
      <c r="C8" s="1" t="s">
        <v>40</v>
      </c>
      <c r="D8" s="1">
        <v>4</v>
      </c>
      <c r="E8" s="1" t="s">
        <v>28</v>
      </c>
      <c r="F8" s="1">
        <v>1328018</v>
      </c>
      <c r="G8" s="1">
        <f t="shared" si="0"/>
        <v>665040.99999999965</v>
      </c>
      <c r="H8" s="1">
        <f t="shared" si="0"/>
        <v>662376.99999999988</v>
      </c>
      <c r="I8" s="1">
        <f>L8/T8*100</f>
        <v>252.00000000000009</v>
      </c>
      <c r="J8" s="1">
        <v>421903</v>
      </c>
      <c r="K8" s="1">
        <v>392161</v>
      </c>
      <c r="L8" s="1">
        <v>15</v>
      </c>
      <c r="M8" s="1">
        <f t="shared" si="1"/>
        <v>814079</v>
      </c>
      <c r="N8" s="1">
        <v>1150</v>
      </c>
      <c r="O8" s="1">
        <f t="shared" si="2"/>
        <v>815229</v>
      </c>
      <c r="P8" s="2">
        <v>61.386893852342361</v>
      </c>
      <c r="Q8" s="2">
        <f t="shared" si="3"/>
        <v>61.300298640530471</v>
      </c>
      <c r="R8" s="2">
        <v>63.440148802855802</v>
      </c>
      <c r="S8" s="2">
        <v>59.205105249729399</v>
      </c>
      <c r="T8" s="2">
        <v>5.9523809523809499</v>
      </c>
      <c r="U8" s="2">
        <f t="shared" si="4"/>
        <v>8.659521181188809E-2</v>
      </c>
      <c r="V8" s="2">
        <f t="shared" si="5"/>
        <v>-4.2350435531264026</v>
      </c>
      <c r="W8" s="2">
        <f t="shared" si="6"/>
        <v>51.825805603633057</v>
      </c>
      <c r="X8" s="2">
        <f>K8/M8*100</f>
        <v>48.172351823348841</v>
      </c>
      <c r="Y8" s="2">
        <f t="shared" si="7"/>
        <v>0.14106465790593808</v>
      </c>
      <c r="Z8" s="1" t="str">
        <f t="shared" si="8"/>
        <v>OK</v>
      </c>
      <c r="AA8" s="1" t="str">
        <f t="shared" si="9"/>
        <v>OK</v>
      </c>
    </row>
    <row r="9" spans="1:27" x14ac:dyDescent="0.35">
      <c r="A9" s="1">
        <v>2014</v>
      </c>
      <c r="B9" s="1" t="s">
        <v>41</v>
      </c>
      <c r="C9" s="1" t="s">
        <v>42</v>
      </c>
      <c r="D9" s="1">
        <v>35</v>
      </c>
      <c r="E9" s="1" t="s">
        <v>28</v>
      </c>
      <c r="F9" s="1">
        <v>1949956</v>
      </c>
      <c r="G9" s="1">
        <f t="shared" si="0"/>
        <v>1051076.9999999991</v>
      </c>
      <c r="H9" s="1">
        <f t="shared" si="0"/>
        <v>897109.00000000035</v>
      </c>
      <c r="I9" s="1">
        <v>0</v>
      </c>
      <c r="J9" s="1">
        <v>580513</v>
      </c>
      <c r="K9" s="1">
        <v>450547</v>
      </c>
      <c r="L9" s="1">
        <v>0</v>
      </c>
      <c r="M9" s="1">
        <f t="shared" si="1"/>
        <v>1031060</v>
      </c>
      <c r="N9" s="1">
        <v>3638</v>
      </c>
      <c r="O9" s="1">
        <f t="shared" si="2"/>
        <v>1034698</v>
      </c>
      <c r="P9" s="2">
        <v>53.062633208133924</v>
      </c>
      <c r="Q9" s="2">
        <f t="shared" si="3"/>
        <v>52.876064895823291</v>
      </c>
      <c r="R9" s="2">
        <v>55.230301871318702</v>
      </c>
      <c r="S9" s="2">
        <v>50.222102330931897</v>
      </c>
      <c r="T9" s="2">
        <v>0</v>
      </c>
      <c r="U9" s="2">
        <f t="shared" si="4"/>
        <v>0.18656831231063675</v>
      </c>
      <c r="V9" s="2">
        <f t="shared" si="5"/>
        <v>-5.0081995403868049</v>
      </c>
      <c r="W9" s="2">
        <f t="shared" si="6"/>
        <v>56.302543013985606</v>
      </c>
      <c r="X9" s="2">
        <f>K9/M9*100</f>
        <v>43.697456986014394</v>
      </c>
      <c r="Y9" s="2">
        <f t="shared" si="7"/>
        <v>0.35160017705649377</v>
      </c>
      <c r="Z9" s="1" t="str">
        <f t="shared" si="8"/>
        <v>OK</v>
      </c>
      <c r="AA9" s="1" t="str">
        <f t="shared" si="9"/>
        <v>OK</v>
      </c>
    </row>
    <row r="10" spans="1:27" x14ac:dyDescent="0.35">
      <c r="A10" s="1">
        <v>2014</v>
      </c>
      <c r="B10" s="1" t="s">
        <v>41</v>
      </c>
      <c r="C10" s="1" t="s">
        <v>43</v>
      </c>
      <c r="D10" s="1">
        <v>77</v>
      </c>
      <c r="E10" s="1" t="s">
        <v>28</v>
      </c>
      <c r="F10" s="1">
        <v>1766487</v>
      </c>
      <c r="G10" s="1">
        <f t="shared" si="0"/>
        <v>985003.00000000058</v>
      </c>
      <c r="H10" s="1">
        <f t="shared" si="0"/>
        <v>780865</v>
      </c>
      <c r="I10" s="1">
        <f>L10/T10*100</f>
        <v>92.000000000000043</v>
      </c>
      <c r="J10" s="1">
        <v>593071</v>
      </c>
      <c r="K10" s="1">
        <v>436735</v>
      </c>
      <c r="L10" s="1">
        <v>10</v>
      </c>
      <c r="M10" s="1">
        <f t="shared" si="1"/>
        <v>1029816</v>
      </c>
      <c r="N10" s="1">
        <v>996</v>
      </c>
      <c r="O10" s="1">
        <f t="shared" si="2"/>
        <v>1030812</v>
      </c>
      <c r="P10" s="2">
        <v>58.353783526286918</v>
      </c>
      <c r="Q10" s="2">
        <f t="shared" si="3"/>
        <v>58.297400433742219</v>
      </c>
      <c r="R10" s="2">
        <v>60.210070426181403</v>
      </c>
      <c r="S10" s="2">
        <v>55.929642127640498</v>
      </c>
      <c r="T10" s="2">
        <v>10.869565217391299</v>
      </c>
      <c r="U10" s="2">
        <f t="shared" si="4"/>
        <v>5.6383092544694639E-2</v>
      </c>
      <c r="V10" s="2">
        <f t="shared" si="5"/>
        <v>-4.2804282985409046</v>
      </c>
      <c r="W10" s="2">
        <f t="shared" si="6"/>
        <v>57.589996659597439</v>
      </c>
      <c r="X10" s="2">
        <f>K10/M10*100</f>
        <v>42.409032293147511</v>
      </c>
      <c r="Y10" s="2">
        <f t="shared" si="7"/>
        <v>9.6622856544161292E-2</v>
      </c>
      <c r="Z10" s="1" t="str">
        <f t="shared" si="8"/>
        <v>OK</v>
      </c>
      <c r="AA10" s="1" t="str">
        <f t="shared" si="9"/>
        <v>OK</v>
      </c>
    </row>
    <row r="11" spans="1:27" x14ac:dyDescent="0.35">
      <c r="A11" s="1">
        <v>2014</v>
      </c>
      <c r="B11" s="1" t="s">
        <v>44</v>
      </c>
      <c r="C11" s="1" t="s">
        <v>45</v>
      </c>
      <c r="D11" s="1">
        <v>23</v>
      </c>
      <c r="E11" s="1" t="s">
        <v>28</v>
      </c>
      <c r="F11" s="1">
        <v>1685296</v>
      </c>
      <c r="G11" s="1">
        <f t="shared" si="0"/>
        <v>889765.99999999942</v>
      </c>
      <c r="H11" s="1">
        <f t="shared" si="0"/>
        <v>794769.00000000035</v>
      </c>
      <c r="I11" s="1">
        <v>0</v>
      </c>
      <c r="J11" s="1">
        <v>626618</v>
      </c>
      <c r="K11" s="1">
        <v>540007</v>
      </c>
      <c r="L11" s="1">
        <v>0</v>
      </c>
      <c r="M11" s="1">
        <f t="shared" si="1"/>
        <v>1166625</v>
      </c>
      <c r="N11" s="1">
        <v>1842</v>
      </c>
      <c r="O11" s="1">
        <f t="shared" si="2"/>
        <v>1168467</v>
      </c>
      <c r="P11" s="2">
        <v>69.333042978800165</v>
      </c>
      <c r="Q11" s="2">
        <f t="shared" si="3"/>
        <v>69.223744671559189</v>
      </c>
      <c r="R11" s="2">
        <v>70.425033098590006</v>
      </c>
      <c r="S11" s="2">
        <v>67.945151358445003</v>
      </c>
      <c r="T11" s="2">
        <v>0</v>
      </c>
      <c r="U11" s="2">
        <f t="shared" si="4"/>
        <v>0.10929830724098319</v>
      </c>
      <c r="V11" s="2">
        <f t="shared" si="5"/>
        <v>-2.4798817401450037</v>
      </c>
      <c r="W11" s="2">
        <f t="shared" si="6"/>
        <v>53.71203257259188</v>
      </c>
      <c r="X11" s="2">
        <f>K11/M11*100</f>
        <v>46.28796742740812</v>
      </c>
      <c r="Y11" s="2">
        <f t="shared" si="7"/>
        <v>0.15764244946583858</v>
      </c>
      <c r="Z11" s="1" t="str">
        <f t="shared" si="8"/>
        <v>OK</v>
      </c>
      <c r="AA11" s="1" t="str">
        <f t="shared" si="9"/>
        <v>OK</v>
      </c>
    </row>
    <row r="12" spans="1:27" x14ac:dyDescent="0.35">
      <c r="A12" s="1">
        <v>2019</v>
      </c>
      <c r="B12" s="1" t="s">
        <v>26</v>
      </c>
      <c r="C12" s="1" t="s">
        <v>27</v>
      </c>
      <c r="D12" s="1">
        <v>7</v>
      </c>
      <c r="E12" s="1" t="s">
        <v>46</v>
      </c>
      <c r="F12" s="1">
        <v>1811851</v>
      </c>
      <c r="G12" s="1">
        <f t="shared" si="0"/>
        <v>956013.00000000012</v>
      </c>
      <c r="H12" s="1">
        <f t="shared" si="0"/>
        <v>855770.99999999988</v>
      </c>
      <c r="I12" s="1">
        <f>L12/T12*100</f>
        <v>67</v>
      </c>
      <c r="J12" s="1">
        <v>619676</v>
      </c>
      <c r="K12" s="1">
        <v>489608</v>
      </c>
      <c r="L12" s="1">
        <v>12</v>
      </c>
      <c r="M12" s="1">
        <f t="shared" si="1"/>
        <v>1109296</v>
      </c>
      <c r="N12" s="1">
        <v>9768</v>
      </c>
      <c r="O12" s="1">
        <f t="shared" si="2"/>
        <v>1119064</v>
      </c>
      <c r="P12" s="2">
        <v>61.763577689335378</v>
      </c>
      <c r="Q12" s="2">
        <f t="shared" si="3"/>
        <v>61.224460510273751</v>
      </c>
      <c r="R12" s="2">
        <v>64.818783844989554</v>
      </c>
      <c r="S12" s="2">
        <v>57.212501942692619</v>
      </c>
      <c r="T12" s="2">
        <v>17.910447761194028</v>
      </c>
      <c r="U12" s="2">
        <f t="shared" si="4"/>
        <v>0.53911717906163359</v>
      </c>
      <c r="V12" s="2">
        <f t="shared" si="5"/>
        <v>-7.606281902296935</v>
      </c>
      <c r="W12" s="2">
        <f t="shared" si="6"/>
        <v>55.862096320549249</v>
      </c>
      <c r="X12" s="2">
        <f>K12/M12*100</f>
        <v>44.136821912275892</v>
      </c>
      <c r="Y12" s="2">
        <f t="shared" si="7"/>
        <v>0.87287232901782208</v>
      </c>
      <c r="Z12" s="1" t="str">
        <f t="shared" si="8"/>
        <v>OK</v>
      </c>
      <c r="AA12" s="1" t="str">
        <f t="shared" si="9"/>
        <v>OK</v>
      </c>
    </row>
    <row r="13" spans="1:27" x14ac:dyDescent="0.35">
      <c r="A13" s="1">
        <v>2019</v>
      </c>
      <c r="B13" s="1" t="s">
        <v>29</v>
      </c>
      <c r="C13" s="1" t="s">
        <v>30</v>
      </c>
      <c r="D13" s="1">
        <v>26</v>
      </c>
      <c r="E13" s="1" t="s">
        <v>46</v>
      </c>
      <c r="F13" s="1">
        <v>2215489</v>
      </c>
      <c r="G13" s="1">
        <f t="shared" si="0"/>
        <v>1153540.0000000002</v>
      </c>
      <c r="H13" s="1">
        <f t="shared" si="0"/>
        <v>1061605</v>
      </c>
      <c r="I13" s="1">
        <f>L13/T13*100</f>
        <v>344</v>
      </c>
      <c r="J13" s="1">
        <v>616311</v>
      </c>
      <c r="K13" s="1">
        <v>568793</v>
      </c>
      <c r="L13" s="1">
        <v>33</v>
      </c>
      <c r="M13" s="1">
        <f t="shared" si="1"/>
        <v>1185137</v>
      </c>
      <c r="N13" s="1">
        <v>4520</v>
      </c>
      <c r="O13" s="1">
        <f t="shared" si="2"/>
        <v>1189657</v>
      </c>
      <c r="P13" s="2">
        <v>53.697265028172112</v>
      </c>
      <c r="Q13" s="2">
        <f t="shared" si="3"/>
        <v>53.493246863333553</v>
      </c>
      <c r="R13" s="2">
        <v>53.427796175251828</v>
      </c>
      <c r="S13" s="2">
        <v>53.578590907164148</v>
      </c>
      <c r="T13" s="2">
        <v>9.5930232558139537</v>
      </c>
      <c r="U13" s="2">
        <f t="shared" si="4"/>
        <v>0.20401816483855256</v>
      </c>
      <c r="V13" s="2">
        <f t="shared" si="5"/>
        <v>0.1507947319123204</v>
      </c>
      <c r="W13" s="2">
        <f t="shared" si="6"/>
        <v>52.003354886397105</v>
      </c>
      <c r="X13" s="2">
        <f>K13/M13*100</f>
        <v>47.993860625396053</v>
      </c>
      <c r="Y13" s="2">
        <f t="shared" si="7"/>
        <v>0.37994144530734492</v>
      </c>
      <c r="Z13" s="1" t="str">
        <f t="shared" si="8"/>
        <v>OK</v>
      </c>
      <c r="AA13" s="1" t="str">
        <f t="shared" si="9"/>
        <v>OK</v>
      </c>
    </row>
    <row r="14" spans="1:27" x14ac:dyDescent="0.35">
      <c r="A14" s="1">
        <v>2019</v>
      </c>
      <c r="B14" s="1" t="s">
        <v>31</v>
      </c>
      <c r="C14" s="1" t="s">
        <v>32</v>
      </c>
      <c r="D14" s="1">
        <v>20</v>
      </c>
      <c r="E14" s="1" t="s">
        <v>46</v>
      </c>
      <c r="F14" s="1">
        <v>1371427</v>
      </c>
      <c r="G14" s="1">
        <f t="shared" si="0"/>
        <v>664663</v>
      </c>
      <c r="H14" s="1">
        <f t="shared" si="0"/>
        <v>706730</v>
      </c>
      <c r="I14" s="1">
        <f>L14/T14*100</f>
        <v>34</v>
      </c>
      <c r="J14" s="1">
        <v>490244</v>
      </c>
      <c r="K14" s="1">
        <v>513476</v>
      </c>
      <c r="L14" s="1">
        <v>15</v>
      </c>
      <c r="M14" s="1">
        <f t="shared" si="1"/>
        <v>1003735</v>
      </c>
      <c r="N14" s="1">
        <v>7533</v>
      </c>
      <c r="O14" s="1">
        <f t="shared" si="2"/>
        <v>1011268</v>
      </c>
      <c r="P14" s="2">
        <v>73.738376158556022</v>
      </c>
      <c r="Q14" s="2">
        <f t="shared" si="3"/>
        <v>73.189094279170533</v>
      </c>
      <c r="R14" s="2">
        <v>73.758280512079054</v>
      </c>
      <c r="S14" s="2">
        <v>72.655186563468362</v>
      </c>
      <c r="T14" s="2">
        <v>44.117647058823529</v>
      </c>
      <c r="U14" s="2">
        <f t="shared" si="4"/>
        <v>0.54928187938548678</v>
      </c>
      <c r="V14" s="2">
        <f t="shared" si="5"/>
        <v>-1.1030939486106917</v>
      </c>
      <c r="W14" s="2">
        <f t="shared" si="6"/>
        <v>48.841975222543802</v>
      </c>
      <c r="X14" s="2">
        <f>K14/M14*100</f>
        <v>51.156530359108729</v>
      </c>
      <c r="Y14" s="2">
        <f t="shared" si="7"/>
        <v>0.74490639474402431</v>
      </c>
      <c r="Z14" s="1" t="str">
        <f t="shared" si="8"/>
        <v>OK</v>
      </c>
      <c r="AA14" s="1" t="str">
        <f t="shared" si="9"/>
        <v>OK</v>
      </c>
    </row>
    <row r="15" spans="1:27" x14ac:dyDescent="0.35">
      <c r="A15" s="1">
        <v>2019</v>
      </c>
      <c r="B15" s="1" t="s">
        <v>33</v>
      </c>
      <c r="C15" s="1" t="s">
        <v>34</v>
      </c>
      <c r="D15" s="1">
        <v>19</v>
      </c>
      <c r="E15" s="1" t="s">
        <v>46</v>
      </c>
      <c r="F15" s="1">
        <v>2142861</v>
      </c>
      <c r="G15" s="1">
        <f t="shared" si="0"/>
        <v>1121754</v>
      </c>
      <c r="H15" s="1">
        <f t="shared" si="0"/>
        <v>1020924</v>
      </c>
      <c r="I15" s="1">
        <f>L15/T15*100</f>
        <v>183</v>
      </c>
      <c r="J15" s="1">
        <v>761678</v>
      </c>
      <c r="K15" s="1">
        <v>644492</v>
      </c>
      <c r="L15" s="1">
        <v>66</v>
      </c>
      <c r="M15" s="1">
        <f t="shared" si="1"/>
        <v>1406236</v>
      </c>
      <c r="N15" s="1">
        <v>2433</v>
      </c>
      <c r="O15" s="1">
        <f t="shared" si="2"/>
        <v>1408669</v>
      </c>
      <c r="P15" s="2">
        <v>65.737768338683651</v>
      </c>
      <c r="Q15" s="2">
        <f t="shared" si="3"/>
        <v>65.624228543055281</v>
      </c>
      <c r="R15" s="2">
        <v>67.900627053703403</v>
      </c>
      <c r="S15" s="2">
        <v>63.128303380075302</v>
      </c>
      <c r="T15" s="2">
        <v>36.065573770491802</v>
      </c>
      <c r="U15" s="2">
        <f t="shared" si="4"/>
        <v>0.11353979562836788</v>
      </c>
      <c r="V15" s="2">
        <f t="shared" si="5"/>
        <v>-4.7723236736281009</v>
      </c>
      <c r="W15" s="2">
        <f t="shared" si="6"/>
        <v>54.164308124667549</v>
      </c>
      <c r="X15" s="2">
        <f>K15/M15*100</f>
        <v>45.830998495273903</v>
      </c>
      <c r="Y15" s="2">
        <f t="shared" si="7"/>
        <v>0.17271623071140205</v>
      </c>
      <c r="Z15" s="1" t="str">
        <f t="shared" si="8"/>
        <v>OK</v>
      </c>
      <c r="AA15" s="1" t="str">
        <f t="shared" si="9"/>
        <v>OK</v>
      </c>
    </row>
    <row r="16" spans="1:27" x14ac:dyDescent="0.35">
      <c r="A16" s="1">
        <v>2019</v>
      </c>
      <c r="B16" s="1" t="s">
        <v>35</v>
      </c>
      <c r="C16" s="1" t="s">
        <v>36</v>
      </c>
      <c r="D16" s="1">
        <v>34</v>
      </c>
      <c r="E16" s="1" t="s">
        <v>46</v>
      </c>
      <c r="F16" s="1">
        <v>2075824</v>
      </c>
      <c r="G16" s="1">
        <f t="shared" si="0"/>
        <v>1068275</v>
      </c>
      <c r="H16" s="1">
        <f t="shared" si="0"/>
        <v>1007469</v>
      </c>
      <c r="I16" s="1">
        <f>L16/T16*100</f>
        <v>80</v>
      </c>
      <c r="J16" s="1">
        <v>550415</v>
      </c>
      <c r="K16" s="1">
        <v>483397</v>
      </c>
      <c r="L16" s="1">
        <v>12</v>
      </c>
      <c r="M16" s="1">
        <f t="shared" si="1"/>
        <v>1033824</v>
      </c>
      <c r="N16" s="1">
        <v>1830</v>
      </c>
      <c r="O16" s="1">
        <f t="shared" si="2"/>
        <v>1035654</v>
      </c>
      <c r="P16" s="2">
        <v>49.891223918790807</v>
      </c>
      <c r="Q16" s="2">
        <f t="shared" si="3"/>
        <v>49.803066155897611</v>
      </c>
      <c r="R16" s="2">
        <v>51.523718143736396</v>
      </c>
      <c r="S16" s="2">
        <v>47.9813274651627</v>
      </c>
      <c r="T16" s="2">
        <v>15</v>
      </c>
      <c r="U16" s="2">
        <f t="shared" si="4"/>
        <v>8.8157762893193256E-2</v>
      </c>
      <c r="V16" s="2">
        <f t="shared" si="5"/>
        <v>-3.5423906785736961</v>
      </c>
      <c r="W16" s="2">
        <f t="shared" si="6"/>
        <v>53.240687002816721</v>
      </c>
      <c r="X16" s="2">
        <f>K16/M16*100</f>
        <v>46.75815225802458</v>
      </c>
      <c r="Y16" s="2">
        <f t="shared" si="7"/>
        <v>0.17669994032756112</v>
      </c>
      <c r="Z16" s="1" t="str">
        <f t="shared" si="8"/>
        <v>OK</v>
      </c>
      <c r="AA16" s="1" t="str">
        <f t="shared" si="9"/>
        <v>OK</v>
      </c>
    </row>
    <row r="17" spans="1:27" x14ac:dyDescent="0.35">
      <c r="A17" s="1">
        <v>2019</v>
      </c>
      <c r="B17" s="1" t="s">
        <v>37</v>
      </c>
      <c r="C17" s="1" t="s">
        <v>38</v>
      </c>
      <c r="D17" s="1">
        <v>7</v>
      </c>
      <c r="E17" s="1" t="s">
        <v>46</v>
      </c>
      <c r="F17" s="1">
        <v>2127021</v>
      </c>
      <c r="G17" s="1">
        <f t="shared" si="0"/>
        <v>1119477</v>
      </c>
      <c r="H17" s="1">
        <f t="shared" si="0"/>
        <v>1007518.9999999999</v>
      </c>
      <c r="I17" s="1">
        <f>L17/T17*100</f>
        <v>25</v>
      </c>
      <c r="J17" s="1">
        <v>784372</v>
      </c>
      <c r="K17" s="1">
        <v>663540</v>
      </c>
      <c r="L17" s="1">
        <v>12</v>
      </c>
      <c r="M17" s="1">
        <f t="shared" si="1"/>
        <v>1447924</v>
      </c>
      <c r="N17" s="1">
        <v>8582</v>
      </c>
      <c r="O17" s="1">
        <f t="shared" si="2"/>
        <v>1456506</v>
      </c>
      <c r="P17" s="2">
        <v>68.476333802064019</v>
      </c>
      <c r="Q17" s="2">
        <f t="shared" si="3"/>
        <v>68.072858707083768</v>
      </c>
      <c r="R17" s="2">
        <v>70.065932573871549</v>
      </c>
      <c r="S17" s="2">
        <v>65.858807625464138</v>
      </c>
      <c r="T17" s="2">
        <v>48</v>
      </c>
      <c r="U17" s="2">
        <f t="shared" si="4"/>
        <v>0.40347509498025641</v>
      </c>
      <c r="V17" s="2">
        <f t="shared" si="5"/>
        <v>-4.2071249484074116</v>
      </c>
      <c r="W17" s="2">
        <f t="shared" si="6"/>
        <v>54.172180307806208</v>
      </c>
      <c r="X17" s="2">
        <f>K17/M17*100</f>
        <v>45.8269909194129</v>
      </c>
      <c r="Y17" s="2">
        <f t="shared" si="7"/>
        <v>0.58921830737394842</v>
      </c>
      <c r="Z17" s="1" t="str">
        <f t="shared" si="8"/>
        <v>OK</v>
      </c>
      <c r="AA17" s="1" t="str">
        <f t="shared" si="9"/>
        <v>OK</v>
      </c>
    </row>
    <row r="18" spans="1:27" x14ac:dyDescent="0.35">
      <c r="A18" s="1">
        <v>2019</v>
      </c>
      <c r="B18" s="1" t="s">
        <v>39</v>
      </c>
      <c r="C18" s="1" t="s">
        <v>40</v>
      </c>
      <c r="D18" s="1">
        <v>4</v>
      </c>
      <c r="E18" s="1" t="s">
        <v>46</v>
      </c>
      <c r="F18" s="1">
        <v>1332300</v>
      </c>
      <c r="G18" s="1">
        <f t="shared" si="0"/>
        <v>660597</v>
      </c>
      <c r="H18" s="1">
        <f t="shared" si="0"/>
        <v>671349.00000000012</v>
      </c>
      <c r="I18" s="1">
        <f>L18/T18*100</f>
        <v>353.99999999999994</v>
      </c>
      <c r="J18" s="1">
        <v>399357</v>
      </c>
      <c r="K18" s="1">
        <v>383273</v>
      </c>
      <c r="L18" s="1">
        <v>56</v>
      </c>
      <c r="M18" s="1">
        <f t="shared" si="1"/>
        <v>782686</v>
      </c>
      <c r="N18" s="1">
        <v>3071</v>
      </c>
      <c r="O18" s="1">
        <f t="shared" si="2"/>
        <v>785757</v>
      </c>
      <c r="P18" s="2">
        <v>58.977482548975459</v>
      </c>
      <c r="Q18" s="2">
        <f t="shared" si="3"/>
        <v>58.746978908654199</v>
      </c>
      <c r="R18" s="2">
        <v>60.453953015227135</v>
      </c>
      <c r="S18" s="2">
        <v>57.089978535754128</v>
      </c>
      <c r="T18" s="2">
        <v>15.819209039548024</v>
      </c>
      <c r="U18" s="2">
        <f t="shared" si="4"/>
        <v>0.23050364032124898</v>
      </c>
      <c r="V18" s="2">
        <f t="shared" si="5"/>
        <v>-3.3639744794730078</v>
      </c>
      <c r="W18" s="2">
        <f t="shared" si="6"/>
        <v>51.023909971559476</v>
      </c>
      <c r="X18" s="2">
        <f>K18/M18*100</f>
        <v>48.968935179625035</v>
      </c>
      <c r="Y18" s="2">
        <f t="shared" si="7"/>
        <v>0.39083329833523595</v>
      </c>
      <c r="Z18" s="1" t="str">
        <f t="shared" si="8"/>
        <v>OK</v>
      </c>
      <c r="AA18" s="1" t="str">
        <f t="shared" si="9"/>
        <v>OK</v>
      </c>
    </row>
    <row r="19" spans="1:27" x14ac:dyDescent="0.35">
      <c r="A19" s="1">
        <v>2019</v>
      </c>
      <c r="B19" s="1" t="s">
        <v>41</v>
      </c>
      <c r="C19" s="1" t="s">
        <v>42</v>
      </c>
      <c r="D19" s="1">
        <v>35</v>
      </c>
      <c r="E19" s="1" t="s">
        <v>46</v>
      </c>
      <c r="F19" s="1">
        <v>2040367</v>
      </c>
      <c r="G19" s="1">
        <f t="shared" si="0"/>
        <v>1096455</v>
      </c>
      <c r="H19" s="1">
        <f t="shared" si="0"/>
        <v>943815.00000000012</v>
      </c>
      <c r="I19" s="1">
        <f>L19/T19*100</f>
        <v>97</v>
      </c>
      <c r="J19" s="1">
        <v>609363</v>
      </c>
      <c r="K19" s="1">
        <v>497734</v>
      </c>
      <c r="L19" s="1">
        <v>3</v>
      </c>
      <c r="M19" s="1">
        <f t="shared" si="1"/>
        <v>1107100</v>
      </c>
      <c r="N19" s="1">
        <v>10530</v>
      </c>
      <c r="O19" s="1">
        <f t="shared" si="2"/>
        <v>1117630</v>
      </c>
      <c r="P19" s="2">
        <v>54.77593001651173</v>
      </c>
      <c r="Q19" s="2">
        <f t="shared" si="3"/>
        <v>54.259846390379771</v>
      </c>
      <c r="R19" s="2">
        <v>55.575741822509819</v>
      </c>
      <c r="S19" s="2">
        <v>52.736394314563761</v>
      </c>
      <c r="T19" s="2">
        <v>3.0927835051546393</v>
      </c>
      <c r="U19" s="2">
        <f t="shared" si="4"/>
        <v>0.51608362613196546</v>
      </c>
      <c r="V19" s="2">
        <f t="shared" si="5"/>
        <v>-2.8393475079460586</v>
      </c>
      <c r="W19" s="2">
        <f t="shared" si="6"/>
        <v>55.041369343329414</v>
      </c>
      <c r="X19" s="2">
        <f>K19/M19*100</f>
        <v>44.958359678439166</v>
      </c>
      <c r="Y19" s="2">
        <f t="shared" si="7"/>
        <v>0.94217227526104341</v>
      </c>
      <c r="Z19" s="1" t="str">
        <f t="shared" si="8"/>
        <v>OK</v>
      </c>
      <c r="AA19" s="1" t="str">
        <f t="shared" si="9"/>
        <v>OK</v>
      </c>
    </row>
    <row r="20" spans="1:27" x14ac:dyDescent="0.35">
      <c r="A20" s="1">
        <v>2019</v>
      </c>
      <c r="B20" s="1" t="s">
        <v>41</v>
      </c>
      <c r="C20" s="1" t="s">
        <v>43</v>
      </c>
      <c r="D20" s="1">
        <v>77</v>
      </c>
      <c r="E20" s="1" t="s">
        <v>46</v>
      </c>
      <c r="F20" s="1">
        <v>1856791</v>
      </c>
      <c r="G20" s="1">
        <f t="shared" si="0"/>
        <v>1027113.0000000001</v>
      </c>
      <c r="H20" s="1">
        <f t="shared" si="0"/>
        <v>829560</v>
      </c>
      <c r="I20" s="1">
        <f>L20/T20*100</f>
        <v>118</v>
      </c>
      <c r="J20" s="1">
        <v>606306</v>
      </c>
      <c r="K20" s="1">
        <v>452435</v>
      </c>
      <c r="L20" s="1">
        <v>3</v>
      </c>
      <c r="M20" s="1">
        <f t="shared" si="1"/>
        <v>1058744</v>
      </c>
      <c r="N20" s="1">
        <v>2085</v>
      </c>
      <c r="O20" s="1">
        <f t="shared" si="2"/>
        <v>1060829</v>
      </c>
      <c r="P20" s="2">
        <v>57.132385928195475</v>
      </c>
      <c r="Q20" s="2">
        <f t="shared" si="3"/>
        <v>57.020095422694318</v>
      </c>
      <c r="R20" s="2">
        <v>59.030116452620106</v>
      </c>
      <c r="S20" s="2">
        <v>54.539153286079369</v>
      </c>
      <c r="T20" s="2">
        <v>2.5423728813559325</v>
      </c>
      <c r="U20" s="2">
        <f t="shared" si="4"/>
        <v>0.11229050550115764</v>
      </c>
      <c r="V20" s="2">
        <f t="shared" si="5"/>
        <v>-4.4909631665407375</v>
      </c>
      <c r="W20" s="2">
        <f t="shared" si="6"/>
        <v>57.26653468638311</v>
      </c>
      <c r="X20" s="2">
        <f>K20/M20*100</f>
        <v>42.733181959000476</v>
      </c>
      <c r="Y20" s="2">
        <f t="shared" si="7"/>
        <v>0.1965444006526971</v>
      </c>
      <c r="Z20" s="1" t="str">
        <f t="shared" si="8"/>
        <v>OK</v>
      </c>
      <c r="AA20" s="1" t="str">
        <f t="shared" si="9"/>
        <v>OK</v>
      </c>
    </row>
    <row r="21" spans="1:27" x14ac:dyDescent="0.35">
      <c r="A21" s="1">
        <v>2019</v>
      </c>
      <c r="B21" s="1" t="s">
        <v>44</v>
      </c>
      <c r="C21" s="1" t="s">
        <v>45</v>
      </c>
      <c r="D21" s="1">
        <v>23</v>
      </c>
      <c r="E21" s="1" t="s">
        <v>46</v>
      </c>
      <c r="F21" s="1">
        <v>1728851</v>
      </c>
      <c r="G21" s="1">
        <f t="shared" si="0"/>
        <v>896904.99999999988</v>
      </c>
      <c r="H21" s="1">
        <f t="shared" si="0"/>
        <v>831913.00000000012</v>
      </c>
      <c r="I21" s="1">
        <f>L21/T21*100</f>
        <v>32.999999999999993</v>
      </c>
      <c r="J21" s="1">
        <v>638271</v>
      </c>
      <c r="K21" s="1">
        <v>565962</v>
      </c>
      <c r="L21" s="1">
        <v>3</v>
      </c>
      <c r="M21" s="1">
        <f t="shared" si="1"/>
        <v>1204236</v>
      </c>
      <c r="N21" s="1">
        <v>2840</v>
      </c>
      <c r="O21" s="1">
        <f t="shared" si="2"/>
        <v>1207076</v>
      </c>
      <c r="P21" s="2">
        <v>69.819550672672193</v>
      </c>
      <c r="Q21" s="2">
        <f t="shared" si="3"/>
        <v>69.655279720461735</v>
      </c>
      <c r="R21" s="2">
        <v>71.163724140237818</v>
      </c>
      <c r="S21" s="2">
        <v>68.03139270572764</v>
      </c>
      <c r="T21" s="2">
        <v>9.0909090909090917</v>
      </c>
      <c r="U21" s="2">
        <f t="shared" si="4"/>
        <v>0.16427095221045654</v>
      </c>
      <c r="V21" s="2">
        <f t="shared" si="5"/>
        <v>-3.1323314345101778</v>
      </c>
      <c r="W21" s="2">
        <f t="shared" si="6"/>
        <v>53.002152402020862</v>
      </c>
      <c r="X21" s="2">
        <f>K21/M21*100</f>
        <v>46.997598477374872</v>
      </c>
      <c r="Y21" s="2">
        <f t="shared" si="7"/>
        <v>0.23527930304305611</v>
      </c>
      <c r="Z21" s="1" t="str">
        <f t="shared" si="8"/>
        <v>OK</v>
      </c>
      <c r="AA21" s="1" t="str">
        <f t="shared" si="9"/>
        <v>OK</v>
      </c>
    </row>
    <row r="22" spans="1:27" x14ac:dyDescent="0.35">
      <c r="A22" s="1">
        <v>2024</v>
      </c>
      <c r="B22" s="1" t="s">
        <v>26</v>
      </c>
      <c r="C22" s="1" t="s">
        <v>27</v>
      </c>
      <c r="D22" s="1">
        <v>7</v>
      </c>
      <c r="E22" s="1" t="s">
        <v>47</v>
      </c>
      <c r="F22" s="1">
        <v>2040263</v>
      </c>
      <c r="G22" s="1">
        <v>1068564</v>
      </c>
      <c r="H22" s="1">
        <v>971582</v>
      </c>
      <c r="I22" s="1">
        <v>117</v>
      </c>
      <c r="J22" s="1">
        <v>628137</v>
      </c>
      <c r="K22" s="1">
        <v>487159</v>
      </c>
      <c r="L22" s="1">
        <v>17</v>
      </c>
      <c r="M22" s="1">
        <f t="shared" si="1"/>
        <v>1115313</v>
      </c>
      <c r="N22" s="1">
        <v>15443</v>
      </c>
      <c r="O22" s="1">
        <f t="shared" si="2"/>
        <v>1130756</v>
      </c>
      <c r="P22" s="2">
        <v>55.42</v>
      </c>
      <c r="Q22" s="2">
        <f t="shared" si="3"/>
        <v>54.665158364387331</v>
      </c>
      <c r="R22" s="2">
        <v>58.78</v>
      </c>
      <c r="S22" s="2">
        <v>50.14</v>
      </c>
      <c r="T22" s="2">
        <v>14.53</v>
      </c>
      <c r="U22" s="2">
        <f t="shared" si="4"/>
        <v>0.75691222161064531</v>
      </c>
      <c r="V22" s="2">
        <f t="shared" si="5"/>
        <v>-8.64</v>
      </c>
      <c r="W22" s="2">
        <f t="shared" si="6"/>
        <v>56.319347124977469</v>
      </c>
      <c r="X22" s="2">
        <f>K22/M22*100</f>
        <v>43.679128639225041</v>
      </c>
      <c r="Y22" s="2">
        <f t="shared" si="7"/>
        <v>1.3657234628867765</v>
      </c>
      <c r="Z22" s="1" t="str">
        <f t="shared" si="8"/>
        <v>OK</v>
      </c>
      <c r="AA22" s="1" t="str">
        <f t="shared" si="9"/>
        <v>OK</v>
      </c>
    </row>
    <row r="23" spans="1:27" x14ac:dyDescent="0.35">
      <c r="A23" s="1">
        <v>2024</v>
      </c>
      <c r="B23" s="1" t="s">
        <v>29</v>
      </c>
      <c r="C23" s="1" t="s">
        <v>30</v>
      </c>
      <c r="D23" s="1">
        <v>26</v>
      </c>
      <c r="E23" s="1" t="s">
        <v>47</v>
      </c>
      <c r="F23" s="1">
        <v>2341895</v>
      </c>
      <c r="G23" s="1">
        <v>1207404</v>
      </c>
      <c r="H23" s="1">
        <v>1134091</v>
      </c>
      <c r="I23" s="1">
        <v>400</v>
      </c>
      <c r="J23" s="1">
        <v>630756</v>
      </c>
      <c r="K23" s="1">
        <v>614381</v>
      </c>
      <c r="L23" s="1">
        <v>51</v>
      </c>
      <c r="M23" s="1">
        <f t="shared" si="1"/>
        <v>1245188</v>
      </c>
      <c r="N23" s="1">
        <v>4864</v>
      </c>
      <c r="O23" s="1">
        <f t="shared" si="2"/>
        <v>1250052</v>
      </c>
      <c r="P23" s="2">
        <v>53.38</v>
      </c>
      <c r="Q23" s="2">
        <f t="shared" si="3"/>
        <v>53.170103698073568</v>
      </c>
      <c r="R23" s="2">
        <v>52.24</v>
      </c>
      <c r="S23" s="2">
        <v>54.17</v>
      </c>
      <c r="T23" s="2">
        <v>12.75</v>
      </c>
      <c r="U23" s="2">
        <f t="shared" si="4"/>
        <v>0.2076950503758708</v>
      </c>
      <c r="V23" s="2">
        <f t="shared" si="5"/>
        <v>1.9299999999999997</v>
      </c>
      <c r="W23" s="2">
        <f t="shared" si="6"/>
        <v>50.65548334869915</v>
      </c>
      <c r="X23" s="2">
        <f>K23/M23*100</f>
        <v>49.340420884235954</v>
      </c>
      <c r="Y23" s="2">
        <f t="shared" si="7"/>
        <v>0.38910381328136751</v>
      </c>
      <c r="Z23" s="1" t="str">
        <f t="shared" si="8"/>
        <v>OK</v>
      </c>
      <c r="AA23" s="1" t="str">
        <f t="shared" si="9"/>
        <v>OK</v>
      </c>
    </row>
    <row r="24" spans="1:27" x14ac:dyDescent="0.35">
      <c r="A24" s="1">
        <v>2024</v>
      </c>
      <c r="B24" s="1" t="s">
        <v>31</v>
      </c>
      <c r="C24" s="1" t="s">
        <v>32</v>
      </c>
      <c r="D24" s="1">
        <v>20</v>
      </c>
      <c r="E24" s="1" t="s">
        <v>47</v>
      </c>
      <c r="F24" s="1">
        <v>1434657</v>
      </c>
      <c r="G24" s="1">
        <v>693061</v>
      </c>
      <c r="H24" s="1">
        <v>741537</v>
      </c>
      <c r="I24" s="1">
        <v>59</v>
      </c>
      <c r="J24" s="1">
        <v>467090</v>
      </c>
      <c r="K24" s="1">
        <v>483755</v>
      </c>
      <c r="L24" s="1">
        <v>29</v>
      </c>
      <c r="M24" s="1">
        <f t="shared" si="1"/>
        <v>950874</v>
      </c>
      <c r="N24" s="1">
        <v>13477</v>
      </c>
      <c r="O24" s="1">
        <f t="shared" si="2"/>
        <v>964351</v>
      </c>
      <c r="P24" s="2">
        <v>67.22</v>
      </c>
      <c r="Q24" s="2">
        <f t="shared" si="3"/>
        <v>66.278838774703644</v>
      </c>
      <c r="R24" s="2">
        <v>67.400000000000006</v>
      </c>
      <c r="S24" s="2">
        <v>65.239999999999995</v>
      </c>
      <c r="T24" s="2">
        <v>49.15</v>
      </c>
      <c r="U24" s="2">
        <f t="shared" si="4"/>
        <v>0.93938829978175964</v>
      </c>
      <c r="V24" s="2">
        <f t="shared" si="5"/>
        <v>-2.1600000000000108</v>
      </c>
      <c r="W24" s="2">
        <f t="shared" si="6"/>
        <v>49.122176019115045</v>
      </c>
      <c r="X24" s="2">
        <f>K24/M24*100</f>
        <v>50.874774155145687</v>
      </c>
      <c r="Y24" s="2">
        <f t="shared" si="7"/>
        <v>1.397520197521442</v>
      </c>
      <c r="Z24" s="1" t="str">
        <f t="shared" si="8"/>
        <v>OK</v>
      </c>
      <c r="AA24" s="1" t="str">
        <f t="shared" si="9"/>
        <v>OK</v>
      </c>
    </row>
    <row r="25" spans="1:27" x14ac:dyDescent="0.35">
      <c r="A25" s="1">
        <v>2024</v>
      </c>
      <c r="B25" s="1" t="s">
        <v>33</v>
      </c>
      <c r="C25" s="1" t="s">
        <v>34</v>
      </c>
      <c r="D25" s="1">
        <v>19</v>
      </c>
      <c r="E25" s="1" t="s">
        <v>47</v>
      </c>
      <c r="F25" s="1">
        <v>2339411</v>
      </c>
      <c r="G25" s="1">
        <v>1200649</v>
      </c>
      <c r="H25" s="1">
        <v>1138585</v>
      </c>
      <c r="I25" s="1">
        <v>177</v>
      </c>
      <c r="J25" s="1">
        <v>797656</v>
      </c>
      <c r="K25" s="1">
        <v>697299</v>
      </c>
      <c r="L25" s="1">
        <v>54</v>
      </c>
      <c r="M25" s="1">
        <f t="shared" si="1"/>
        <v>1495009</v>
      </c>
      <c r="N25" s="1">
        <v>4919</v>
      </c>
      <c r="O25" s="1">
        <f t="shared" si="2"/>
        <v>1499928</v>
      </c>
      <c r="P25" s="2">
        <v>64.12</v>
      </c>
      <c r="Q25" s="2">
        <f t="shared" si="3"/>
        <v>63.905359083974552</v>
      </c>
      <c r="R25" s="2">
        <v>66.44</v>
      </c>
      <c r="S25" s="2">
        <v>61.24</v>
      </c>
      <c r="T25" s="2">
        <v>30.51</v>
      </c>
      <c r="U25" s="2">
        <f t="shared" si="4"/>
        <v>0.21026660129408642</v>
      </c>
      <c r="V25" s="2">
        <f t="shared" si="5"/>
        <v>-5.1999999999999957</v>
      </c>
      <c r="W25" s="2">
        <f t="shared" si="6"/>
        <v>53.354595189727959</v>
      </c>
      <c r="X25" s="2">
        <f>K25/M25*100</f>
        <v>46.641792791882857</v>
      </c>
      <c r="Y25" s="2">
        <f t="shared" si="7"/>
        <v>0.32794907488892799</v>
      </c>
      <c r="Z25" s="1" t="str">
        <f t="shared" si="8"/>
        <v>OK</v>
      </c>
      <c r="AA25" s="1" t="str">
        <f t="shared" si="9"/>
        <v>OK</v>
      </c>
    </row>
    <row r="26" spans="1:27" x14ac:dyDescent="0.35">
      <c r="A26" s="1">
        <v>2024</v>
      </c>
      <c r="B26" s="1" t="s">
        <v>35</v>
      </c>
      <c r="C26" s="1" t="s">
        <v>36</v>
      </c>
      <c r="D26" s="1">
        <v>34</v>
      </c>
      <c r="E26" s="1" t="s">
        <v>47</v>
      </c>
      <c r="F26" s="1">
        <v>2062172</v>
      </c>
      <c r="G26" s="1">
        <v>1058642</v>
      </c>
      <c r="H26" s="1">
        <v>1003206</v>
      </c>
      <c r="I26" s="1">
        <v>324</v>
      </c>
      <c r="J26" s="1">
        <v>584504</v>
      </c>
      <c r="K26" s="1">
        <v>519078</v>
      </c>
      <c r="L26" s="1">
        <v>89</v>
      </c>
      <c r="M26" s="1">
        <f t="shared" si="1"/>
        <v>1103671</v>
      </c>
      <c r="N26" s="1">
        <v>1098</v>
      </c>
      <c r="O26" s="1">
        <f t="shared" si="2"/>
        <v>1104769</v>
      </c>
      <c r="P26" s="2">
        <v>53.57</v>
      </c>
      <c r="Q26" s="2">
        <f t="shared" si="3"/>
        <v>53.519832487299801</v>
      </c>
      <c r="R26" s="2">
        <v>55.21</v>
      </c>
      <c r="S26" s="2">
        <v>51.74</v>
      </c>
      <c r="T26" s="2">
        <v>27.47</v>
      </c>
      <c r="U26" s="2">
        <f t="shared" si="4"/>
        <v>5.3244831178000669E-2</v>
      </c>
      <c r="V26" s="2">
        <f t="shared" si="5"/>
        <v>-3.4699999999999989</v>
      </c>
      <c r="W26" s="2">
        <f t="shared" si="6"/>
        <v>52.959985357955411</v>
      </c>
      <c r="X26" s="2">
        <f>K26/M26*100</f>
        <v>47.031950644712055</v>
      </c>
      <c r="Y26" s="2">
        <f t="shared" si="7"/>
        <v>9.9387292728163087E-2</v>
      </c>
      <c r="Z26" s="1" t="str">
        <f t="shared" si="8"/>
        <v>OK</v>
      </c>
      <c r="AA26" s="1" t="str">
        <f t="shared" si="9"/>
        <v>OK</v>
      </c>
    </row>
    <row r="27" spans="1:27" x14ac:dyDescent="0.35">
      <c r="A27" s="1">
        <v>2024</v>
      </c>
      <c r="B27" s="1" t="s">
        <v>37</v>
      </c>
      <c r="C27" s="1" t="s">
        <v>38</v>
      </c>
      <c r="D27" s="1">
        <v>7</v>
      </c>
      <c r="E27" s="1" t="s">
        <v>47</v>
      </c>
      <c r="F27" s="1">
        <v>2288793</v>
      </c>
      <c r="G27" s="1">
        <v>1192089</v>
      </c>
      <c r="H27" s="1">
        <v>1096624</v>
      </c>
      <c r="I27" s="1">
        <v>80</v>
      </c>
      <c r="J27" s="1">
        <v>782994</v>
      </c>
      <c r="K27" s="1">
        <v>666587</v>
      </c>
      <c r="L27" s="1">
        <v>36</v>
      </c>
      <c r="M27" s="1">
        <f t="shared" si="1"/>
        <v>1449617</v>
      </c>
      <c r="N27" s="1">
        <v>15383</v>
      </c>
      <c r="O27" s="1">
        <f t="shared" si="2"/>
        <v>1465000</v>
      </c>
      <c r="P27" s="2">
        <v>64.010000000000005</v>
      </c>
      <c r="Q27" s="2">
        <f t="shared" si="3"/>
        <v>63.335434877684435</v>
      </c>
      <c r="R27" s="2">
        <v>65.680000000000007</v>
      </c>
      <c r="S27" s="2">
        <v>60.79</v>
      </c>
      <c r="T27" s="2">
        <v>45</v>
      </c>
      <c r="U27" s="2">
        <f t="shared" si="4"/>
        <v>0.67210097199703078</v>
      </c>
      <c r="V27" s="2">
        <f t="shared" si="5"/>
        <v>-4.8900000000000077</v>
      </c>
      <c r="W27" s="2">
        <f t="shared" si="6"/>
        <v>54.013853314358208</v>
      </c>
      <c r="X27" s="2">
        <f>K27/M27*100</f>
        <v>45.983663271057111</v>
      </c>
      <c r="Y27" s="2">
        <f t="shared" si="7"/>
        <v>1.0500341296928328</v>
      </c>
      <c r="Z27" s="1" t="str">
        <f t="shared" si="8"/>
        <v>OK</v>
      </c>
      <c r="AA27" s="1" t="str">
        <f t="shared" si="9"/>
        <v>OK</v>
      </c>
    </row>
    <row r="28" spans="1:27" x14ac:dyDescent="0.35">
      <c r="A28" s="1">
        <v>2024</v>
      </c>
      <c r="B28" s="1" t="s">
        <v>39</v>
      </c>
      <c r="C28" s="1" t="s">
        <v>40</v>
      </c>
      <c r="D28" s="1">
        <v>4</v>
      </c>
      <c r="E28" s="1" t="s">
        <v>47</v>
      </c>
      <c r="F28" s="1">
        <v>1350334</v>
      </c>
      <c r="G28" s="1">
        <v>667618</v>
      </c>
      <c r="H28" s="1">
        <v>682261</v>
      </c>
      <c r="I28" s="1">
        <v>455</v>
      </c>
      <c r="J28" s="1">
        <v>370304</v>
      </c>
      <c r="K28" s="1">
        <v>357463</v>
      </c>
      <c r="L28" s="1">
        <v>135</v>
      </c>
      <c r="M28" s="1">
        <f t="shared" si="1"/>
        <v>727902</v>
      </c>
      <c r="N28" s="1">
        <v>3808</v>
      </c>
      <c r="O28" s="1">
        <f t="shared" si="2"/>
        <v>731710</v>
      </c>
      <c r="P28" s="2">
        <v>54.19</v>
      </c>
      <c r="Q28" s="2">
        <f t="shared" si="3"/>
        <v>53.905330088703984</v>
      </c>
      <c r="R28" s="2">
        <v>55.47</v>
      </c>
      <c r="S28" s="2">
        <v>52.39</v>
      </c>
      <c r="T28" s="2">
        <v>29.67</v>
      </c>
      <c r="U28" s="2">
        <f t="shared" si="4"/>
        <v>0.28200430412031396</v>
      </c>
      <c r="V28" s="2">
        <f t="shared" si="5"/>
        <v>-3.0799999999999983</v>
      </c>
      <c r="W28" s="2">
        <f t="shared" si="6"/>
        <v>50.872782325093212</v>
      </c>
      <c r="X28" s="2">
        <f>K28/M28*100</f>
        <v>49.10867122222497</v>
      </c>
      <c r="Y28" s="2">
        <f t="shared" si="7"/>
        <v>0.52042475844255243</v>
      </c>
      <c r="Z28" s="1" t="str">
        <f t="shared" si="8"/>
        <v>OK</v>
      </c>
      <c r="AA28" s="1" t="str">
        <f t="shared" si="9"/>
        <v>OK</v>
      </c>
    </row>
    <row r="29" spans="1:27" x14ac:dyDescent="0.35">
      <c r="A29" s="1">
        <v>2024</v>
      </c>
      <c r="B29" s="1" t="s">
        <v>41</v>
      </c>
      <c r="C29" s="1" t="s">
        <v>42</v>
      </c>
      <c r="D29" s="1">
        <v>35</v>
      </c>
      <c r="E29" s="1" t="s">
        <v>47</v>
      </c>
      <c r="F29" s="1">
        <v>2173953</v>
      </c>
      <c r="G29" s="1">
        <v>1149665</v>
      </c>
      <c r="H29" s="1">
        <v>1024196</v>
      </c>
      <c r="I29" s="1">
        <v>92</v>
      </c>
      <c r="J29" s="1">
        <v>621389</v>
      </c>
      <c r="K29" s="1">
        <v>514344</v>
      </c>
      <c r="L29" s="1">
        <v>22</v>
      </c>
      <c r="M29" s="1">
        <f t="shared" si="1"/>
        <v>1135755</v>
      </c>
      <c r="N29" s="1">
        <v>4467</v>
      </c>
      <c r="O29" s="1">
        <f t="shared" si="2"/>
        <v>1140222</v>
      </c>
      <c r="P29" s="2">
        <v>52.45</v>
      </c>
      <c r="Q29" s="2">
        <f t="shared" si="3"/>
        <v>52.243769759511814</v>
      </c>
      <c r="R29" s="2">
        <v>54.05</v>
      </c>
      <c r="S29" s="2">
        <v>50.22</v>
      </c>
      <c r="T29" s="2">
        <v>23.91</v>
      </c>
      <c r="U29" s="2">
        <f t="shared" si="4"/>
        <v>0.20547822331025556</v>
      </c>
      <c r="V29" s="2">
        <f t="shared" si="5"/>
        <v>-3.8299999999999983</v>
      </c>
      <c r="W29" s="2">
        <f t="shared" si="6"/>
        <v>54.711535498412957</v>
      </c>
      <c r="X29" s="2">
        <f>K29/M29*100</f>
        <v>45.286527464109774</v>
      </c>
      <c r="Y29" s="2">
        <f t="shared" si="7"/>
        <v>0.39176581402568972</v>
      </c>
      <c r="Z29" s="1" t="str">
        <f t="shared" si="8"/>
        <v>OK</v>
      </c>
      <c r="AA29" s="1" t="str">
        <f t="shared" si="9"/>
        <v>OK</v>
      </c>
    </row>
    <row r="30" spans="1:27" x14ac:dyDescent="0.35">
      <c r="A30" s="1">
        <v>2024</v>
      </c>
      <c r="B30" s="1" t="s">
        <v>41</v>
      </c>
      <c r="C30" s="1" t="s">
        <v>43</v>
      </c>
      <c r="D30" s="1">
        <v>77</v>
      </c>
      <c r="E30" s="1" t="s">
        <v>47</v>
      </c>
      <c r="F30" s="1">
        <v>1999861</v>
      </c>
      <c r="G30" s="1">
        <v>1085928</v>
      </c>
      <c r="H30" s="1">
        <v>913797</v>
      </c>
      <c r="I30" s="1">
        <v>136</v>
      </c>
      <c r="J30" s="1">
        <v>636471</v>
      </c>
      <c r="K30" s="1">
        <v>492018</v>
      </c>
      <c r="L30" s="1">
        <v>14</v>
      </c>
      <c r="M30" s="1">
        <f t="shared" si="1"/>
        <v>1128503</v>
      </c>
      <c r="N30" s="1">
        <v>3315</v>
      </c>
      <c r="O30" s="1">
        <f t="shared" si="2"/>
        <v>1131818</v>
      </c>
      <c r="P30" s="2">
        <v>56.59</v>
      </c>
      <c r="Q30" s="2">
        <f t="shared" si="3"/>
        <v>56.429071820491529</v>
      </c>
      <c r="R30" s="2">
        <v>58.61</v>
      </c>
      <c r="S30" s="2">
        <v>53.84</v>
      </c>
      <c r="T30" s="2">
        <v>10.29</v>
      </c>
      <c r="U30" s="2">
        <f t="shared" si="4"/>
        <v>0.16576152042566958</v>
      </c>
      <c r="V30" s="2">
        <f t="shared" si="5"/>
        <v>-4.769999999999996</v>
      </c>
      <c r="W30" s="2">
        <f t="shared" si="6"/>
        <v>56.399584227955089</v>
      </c>
      <c r="X30" s="2">
        <f>K30/M30*100</f>
        <v>43.599175190495728</v>
      </c>
      <c r="Y30" s="2">
        <f t="shared" si="7"/>
        <v>0.29289161331592184</v>
      </c>
      <c r="Z30" s="1" t="str">
        <f t="shared" si="8"/>
        <v>OK</v>
      </c>
      <c r="AA30" s="1" t="str">
        <f t="shared" si="9"/>
        <v>OK</v>
      </c>
    </row>
    <row r="31" spans="1:27" x14ac:dyDescent="0.35">
      <c r="A31" s="1">
        <v>2024</v>
      </c>
      <c r="B31" s="1" t="s">
        <v>44</v>
      </c>
      <c r="C31" s="1" t="s">
        <v>45</v>
      </c>
      <c r="D31" s="1">
        <v>23</v>
      </c>
      <c r="E31" s="1" t="s">
        <v>47</v>
      </c>
      <c r="F31" s="1">
        <v>1850115</v>
      </c>
      <c r="G31" s="1">
        <v>947832</v>
      </c>
      <c r="H31" s="1">
        <v>902241</v>
      </c>
      <c r="I31" s="1">
        <v>42</v>
      </c>
      <c r="J31" s="1">
        <v>642406</v>
      </c>
      <c r="K31" s="1">
        <v>596004</v>
      </c>
      <c r="L31" s="1">
        <v>15</v>
      </c>
      <c r="M31" s="1">
        <f t="shared" si="1"/>
        <v>1238425</v>
      </c>
      <c r="N31" s="1">
        <v>6115</v>
      </c>
      <c r="O31" s="1">
        <f t="shared" si="2"/>
        <v>1244540</v>
      </c>
      <c r="P31" s="2">
        <v>67.27</v>
      </c>
      <c r="Q31" s="2">
        <f t="shared" si="3"/>
        <v>66.937730897809061</v>
      </c>
      <c r="R31" s="2">
        <v>67.78</v>
      </c>
      <c r="S31" s="2">
        <v>66.06</v>
      </c>
      <c r="T31" s="2">
        <v>35.71</v>
      </c>
      <c r="U31" s="2">
        <f t="shared" si="4"/>
        <v>0.33051999470303195</v>
      </c>
      <c r="V31" s="2">
        <f t="shared" si="5"/>
        <v>-1.7199999999999989</v>
      </c>
      <c r="W31" s="2">
        <f t="shared" si="6"/>
        <v>51.872822334820434</v>
      </c>
      <c r="X31" s="2">
        <f>K31/M31*100</f>
        <v>48.125966449320714</v>
      </c>
      <c r="Y31" s="2">
        <f t="shared" si="7"/>
        <v>0.49134620020248443</v>
      </c>
      <c r="Z31" s="1" t="str">
        <f t="shared" si="8"/>
        <v>OK</v>
      </c>
      <c r="AA31" s="1" t="str">
        <f t="shared" si="9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Nath, Manash</dc:creator>
  <cp:lastModifiedBy>Kumar Nath, Manash</cp:lastModifiedBy>
  <dcterms:created xsi:type="dcterms:W3CDTF">2025-12-02T02:08:16Z</dcterms:created>
  <dcterms:modified xsi:type="dcterms:W3CDTF">2025-12-02T10:10:21Z</dcterms:modified>
</cp:coreProperties>
</file>